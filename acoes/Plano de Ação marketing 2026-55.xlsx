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I04\Documents\Antigravity\Agente\Portal de chamado\acoes\"/>
    </mc:Choice>
  </mc:AlternateContent>
  <xr:revisionPtr revIDLastSave="0" documentId="8_{8F0A75A5-AD49-40E5-8693-19E86F2D8554}" xr6:coauthVersionLast="47" xr6:coauthVersionMax="47" xr10:uidLastSave="{00000000-0000-0000-0000-000000000000}"/>
  <bookViews>
    <workbookView xWindow="-120" yWindow="-120" windowWidth="29040" windowHeight="15720" xr2:uid="{91DE1EF6-B91E-4755-9B74-13A3204CFF33}"/>
  </bookViews>
  <sheets>
    <sheet name="Marketing 2026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8" i="8" l="1"/>
  <c r="R27" i="8"/>
  <c r="R25" i="8"/>
  <c r="R24" i="8"/>
  <c r="R23" i="8"/>
  <c r="R22" i="8"/>
  <c r="R21" i="8"/>
  <c r="R20" i="8"/>
  <c r="R16" i="8"/>
  <c r="R13" i="8"/>
  <c r="R7" i="8"/>
</calcChain>
</file>

<file path=xl/sharedStrings.xml><?xml version="1.0" encoding="utf-8"?>
<sst xmlns="http://schemas.openxmlformats.org/spreadsheetml/2006/main" count="342" uniqueCount="66">
  <si>
    <t>Observações</t>
  </si>
  <si>
    <t>Resultado</t>
  </si>
  <si>
    <t>Jan</t>
  </si>
  <si>
    <t>Fev</t>
  </si>
  <si>
    <t>Mar</t>
  </si>
  <si>
    <t>Abr</t>
  </si>
  <si>
    <t>Mai</t>
  </si>
  <si>
    <t>Jun</t>
  </si>
  <si>
    <t>Jul</t>
  </si>
  <si>
    <t>Ago</t>
  </si>
  <si>
    <t xml:space="preserve">Set </t>
  </si>
  <si>
    <t>Out</t>
  </si>
  <si>
    <t>Nov</t>
  </si>
  <si>
    <t>Dez</t>
  </si>
  <si>
    <t>x</t>
  </si>
  <si>
    <t>Calendário de Ações Comerciais</t>
  </si>
  <si>
    <t>Aumentar a presença nacional (redes)</t>
  </si>
  <si>
    <t>Melhorar a comunicação no PDV</t>
  </si>
  <si>
    <t>Ações</t>
  </si>
  <si>
    <t>Valor mês</t>
  </si>
  <si>
    <t>Valor ano</t>
  </si>
  <si>
    <t>Tema / Objetivo</t>
  </si>
  <si>
    <t xml:space="preserve">Aumentar volume de Vendas Acessibilidade </t>
  </si>
  <si>
    <t>Disparo de E-mail Marketing e WhatsApp: Arrumar mailling atual, comprar maillings seguimentados, fazer disparos semanais / quinzenais</t>
  </si>
  <si>
    <t>Aumentar numero de empresas atingidas e consequentemente trazer novos clientes e vendas</t>
  </si>
  <si>
    <t>comprar mailling, Thiago dispara sem custo</t>
  </si>
  <si>
    <t xml:space="preserve">Visitas mensais PDV. Ações PDV com vendedores, representantes e promotores. </t>
  </si>
  <si>
    <t>Identificar melhorias, estudar concorrência e trazer novas oportunidades, produtos e melhorias</t>
  </si>
  <si>
    <t xml:space="preserve">Postagens redes sociais focadas em a acessibilidade, utilizando tráfego para atingir um número maior de empresas segmentadas </t>
  </si>
  <si>
    <t>Material completo de divulagação, com descrição detalhada dos produtos e diferenecias. Folders, fotos, site, redes sociais.</t>
  </si>
  <si>
    <r>
      <rPr>
        <b/>
        <sz val="11"/>
        <rFont val="Calibri"/>
        <family val="2"/>
      </rPr>
      <t xml:space="preserve">Criação de calendário </t>
    </r>
    <r>
      <rPr>
        <sz val="11"/>
        <rFont val="Calibri"/>
        <family val="2"/>
      </rPr>
      <t>com feriados nacionais importantes para o negocio da Mebuki (Feiras, eventos, datas comemorativas). Criar campanhas temáticas mensais  e ações pontuais, de acordo com calendário (ex: carnaval, dia das mães, copa, festa junina, etc)</t>
    </r>
  </si>
  <si>
    <r>
      <rPr>
        <b/>
        <sz val="11"/>
        <rFont val="Calibri"/>
        <family val="2"/>
      </rPr>
      <t>Pesquisa de plataformas ONLINE para cadastro</t>
    </r>
    <r>
      <rPr>
        <sz val="11"/>
        <rFont val="Calibri"/>
        <family val="2"/>
      </rPr>
      <t>, aumentar o numero de SKU nas redes existentes (ex: Amicci). Pesquisar novas plataformas</t>
    </r>
  </si>
  <si>
    <t>Novas oportunidades</t>
  </si>
  <si>
    <t>Lançamento de Produtos / Importação</t>
  </si>
  <si>
    <r>
      <rPr>
        <b/>
        <sz val="11"/>
        <rFont val="Calibri"/>
        <family val="2"/>
      </rPr>
      <t xml:space="preserve">LANÇAMENTOS: </t>
    </r>
    <r>
      <rPr>
        <sz val="11"/>
        <rFont val="Calibri"/>
        <family val="2"/>
      </rPr>
      <t>Criar um calendário de lançamento de produtos / Organizar reuniões quinzenalmente para acompanhamento / acompanhar etapa por etapa pra agilizar processo</t>
    </r>
  </si>
  <si>
    <t>Mais agilidade, maior resultado, novas oportunidades</t>
  </si>
  <si>
    <t>Reuniões quinzenais. Planilha de controle por item</t>
  </si>
  <si>
    <r>
      <rPr>
        <b/>
        <sz val="11"/>
        <rFont val="Calibri"/>
        <family val="2"/>
      </rPr>
      <t xml:space="preserve">IMPORTAÇÃO: </t>
    </r>
    <r>
      <rPr>
        <sz val="11"/>
        <rFont val="Calibri"/>
        <family val="2"/>
      </rPr>
      <t>Acompanhamento estoque, pedidos e prazos. Criação de calendário com reuniões mensais com envolvidos</t>
    </r>
  </si>
  <si>
    <t>Evitar falta de produtos e atrasos</t>
  </si>
  <si>
    <t>08/12 - Diego já esta ajustando para fazermos de forma automática, essa semana devemos ter finalização</t>
  </si>
  <si>
    <r>
      <rPr>
        <b/>
        <sz val="11"/>
        <rFont val="Calibri"/>
        <family val="2"/>
      </rPr>
      <t>Visitas Mensais PDV</t>
    </r>
    <r>
      <rPr>
        <sz val="11"/>
        <rFont val="Calibri"/>
        <family val="2"/>
      </rPr>
      <t>, análise de oportunidades, pesquisa de mercado e concorrentes. Criação de sitema de acompanhamento promotores. Novas embalagens, adesivo, expositores e itens para exposição.</t>
    </r>
  </si>
  <si>
    <t>Credibilidade, visibilidade e novas oportunidades</t>
  </si>
  <si>
    <r>
      <rPr>
        <b/>
        <sz val="11"/>
        <rFont val="Calibri"/>
        <family val="2"/>
      </rPr>
      <t xml:space="preserve">Marketing da Empresa: </t>
    </r>
    <r>
      <rPr>
        <sz val="11"/>
        <rFont val="Calibri"/>
        <family val="2"/>
      </rPr>
      <t xml:space="preserve"> Fortalecer a presença institucional da Mebuki, garantindo comunicação profissional, padronizada e eficiente em todos os pontos de contato; aprimorar materiais comerciais e de PDV; modernizar a identidade visual; ampliar a presença digital; e criar processos organizados que apoiem representantes, vendas e lançamentos de produtos.</t>
    </r>
  </si>
  <si>
    <r>
      <rPr>
        <b/>
        <sz val="10"/>
        <rFont val="Arial"/>
        <family val="2"/>
      </rPr>
      <t xml:space="preserve">Nova Identidade Visual: </t>
    </r>
    <r>
      <rPr>
        <sz val="10"/>
        <rFont val="Arial"/>
        <family val="2"/>
      </rPr>
      <t>Atualização do visual da marca para garantir modernização e padronização em todos os materiais e canais.</t>
    </r>
  </si>
  <si>
    <t>Comunicação clara, coesa e profissional em todos os materiais; aumento da credibilidade e do posicionamento institucional; maior eficiência comercial com suporte estruturado para representantes e PDV; processos internos mais ágeis e organizados; presença digital fortalecida; identidade visual consolidada; e ampliação das oportunidades de mercado e visibilidade nacional.</t>
  </si>
  <si>
    <r>
      <rPr>
        <b/>
        <sz val="10"/>
        <rFont val="Arial"/>
        <family val="2"/>
      </rPr>
      <t>Padronização de materias</t>
    </r>
    <r>
      <rPr>
        <sz val="10"/>
        <rFont val="Arial"/>
        <family val="2"/>
      </rPr>
      <t xml:space="preserve"> (exemplo: whats business, crachá, capa meet) </t>
    </r>
  </si>
  <si>
    <r>
      <rPr>
        <b/>
        <sz val="10"/>
        <rFont val="Arial"/>
        <family val="2"/>
      </rPr>
      <t xml:space="preserve">Catálogos e Folders: </t>
    </r>
    <r>
      <rPr>
        <sz val="10"/>
        <rFont val="Arial"/>
        <family val="2"/>
      </rPr>
      <t>Criação de folder de cada produto com especificações simples  e claras, diferenciais, fotos, vídeos e manual de instruções (QR code)</t>
    </r>
  </si>
  <si>
    <t>impressão de uns 10 mil aproximado de cada</t>
  </si>
  <si>
    <r>
      <rPr>
        <b/>
        <sz val="10"/>
        <rFont val="Arial"/>
        <family val="2"/>
      </rPr>
      <t>Embalagens e Encartes:</t>
    </r>
    <r>
      <rPr>
        <sz val="10"/>
        <rFont val="Arial"/>
        <family val="2"/>
      </rPr>
      <t xml:space="preserve"> Revisão em todas as reimpressões para correções e melhorias nos novos (fotos, layout, cor, etc)</t>
    </r>
  </si>
  <si>
    <r>
      <rPr>
        <b/>
        <sz val="10"/>
        <rFont val="Arial"/>
        <family val="2"/>
      </rPr>
      <t xml:space="preserve">Produção de conteúdo (fotos e vídeos): </t>
    </r>
    <r>
      <rPr>
        <sz val="10"/>
        <rFont val="Arial"/>
        <family val="2"/>
      </rPr>
      <t>Calendário de fotos já definidos, 3x por mês - datas fixas</t>
    </r>
  </si>
  <si>
    <r>
      <rPr>
        <b/>
        <sz val="11"/>
        <rFont val="Calibri"/>
        <family val="2"/>
      </rPr>
      <t>Site</t>
    </r>
    <r>
      <rPr>
        <sz val="11"/>
        <rFont val="Calibri"/>
        <family val="2"/>
      </rPr>
      <t>: Novo layout, mais completo, moderno e de fácil atualização. Incluir todos os produtos, lançamentos, etc</t>
    </r>
  </si>
  <si>
    <r>
      <rPr>
        <b/>
        <sz val="10"/>
        <rFont val="Arial"/>
        <family val="2"/>
      </rPr>
      <t>Redes sociais</t>
    </r>
    <r>
      <rPr>
        <sz val="10"/>
        <rFont val="Arial"/>
        <family val="2"/>
      </rPr>
      <t xml:space="preserve"> - Foco inicial Instagram e Linkedin - mínimo de 3 posts semana. Incentivar marcação, repost, parceria com influencers, trends, etc)</t>
    </r>
  </si>
  <si>
    <t>Parcerias com influencers, impulsionar posts, tráfego pago, prêmio fundionário mais engajado</t>
  </si>
  <si>
    <r>
      <rPr>
        <b/>
        <sz val="10"/>
        <rFont val="Arial"/>
        <family val="2"/>
      </rPr>
      <t>E-mail Marketing e WhatsApp:</t>
    </r>
    <r>
      <rPr>
        <sz val="10"/>
        <rFont val="Arial"/>
        <family val="2"/>
      </rPr>
      <t xml:space="preserve"> Envios semanais (ativos, ativos ultimo 5 meses, inativos). Organizar  estrategias e disparos</t>
    </r>
  </si>
  <si>
    <t>Thiago - sem custo</t>
  </si>
  <si>
    <r>
      <rPr>
        <b/>
        <sz val="10"/>
        <rFont val="Arial"/>
        <family val="2"/>
      </rPr>
      <t>Campanhas de Incentivo PDV (Promotores, vendedores e representantes):</t>
    </r>
    <r>
      <rPr>
        <sz val="10"/>
        <rFont val="Arial"/>
        <family val="2"/>
      </rPr>
      <t xml:space="preserve"> Campanhas mensais com foco em aumento de venda, pesquisa de mercado, etc</t>
    </r>
  </si>
  <si>
    <r>
      <rPr>
        <b/>
        <sz val="10"/>
        <rFont val="Arial"/>
        <family val="2"/>
      </rPr>
      <t xml:space="preserve">Endomarketing: </t>
    </r>
    <r>
      <rPr>
        <sz val="10"/>
        <rFont val="Arial"/>
        <family val="2"/>
      </rPr>
      <t>Ações internas para engajar colaboradores, reforçar cultura, comunicar metas</t>
    </r>
  </si>
  <si>
    <t>Incluso kits de integração, custos com brindes (mimos), palestras, festas, decoração, etc</t>
  </si>
  <si>
    <r>
      <rPr>
        <b/>
        <sz val="10"/>
        <rFont val="Arial"/>
        <family val="2"/>
      </rPr>
      <t>Registro de tudo</t>
    </r>
    <r>
      <rPr>
        <sz val="10"/>
        <rFont val="Arial"/>
        <family val="2"/>
      </rPr>
      <t xml:space="preserve"> que for feito (ações internas, PDV, eventos, etc). Inclusão no Linkedin, stories, feed)</t>
    </r>
  </si>
  <si>
    <r>
      <rPr>
        <b/>
        <sz val="10"/>
        <rFont val="Arial"/>
        <family val="2"/>
      </rPr>
      <t>Definição de prazos e processos:</t>
    </r>
    <r>
      <rPr>
        <sz val="10"/>
        <rFont val="Arial"/>
        <family val="2"/>
      </rPr>
      <t xml:space="preserve"> ponto fundamental para que fique mais organizado e produtivo, principalmente suporte aos externo</t>
    </r>
  </si>
  <si>
    <t>Feiras, eventos e Convenção</t>
  </si>
  <si>
    <t>espaço, brindes, refeição, hotel, passagem, material promocional, etc</t>
  </si>
  <si>
    <t>Brindes e expositores</t>
  </si>
  <si>
    <t>Contratação Designer</t>
  </si>
  <si>
    <t>Impressora</t>
  </si>
  <si>
    <t>Notebook com placa de vídeo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</si>
</sst>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12" x14ac:knownFonts="1">
    <font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1"/>
      <name val="Arial"/>
      <family val="2"/>
    </font>
    <font>
      <sz val="11"/>
      <name val="Calibri"/>
      <family val="2"/>
      <scheme val="minor"/>
    </font>
    <font>
      <sz val="11"/>
      <name val="Calibri"/>
      <family val="2"/>
    </font>
    <font>
      <sz val="10"/>
      <name val="Arial"/>
      <family val="2"/>
    </font>
    <font>
      <b/>
      <sz val="11"/>
      <name val="Calibri"/>
      <family val="2"/>
    </font>
    <font>
      <u/>
      <sz val="11"/>
      <name val="Calibri"/>
      <family val="2"/>
    </font>
    <font>
      <b/>
      <sz val="10"/>
      <name val="Arial"/>
      <family val="2"/>
    </font>
    <font>
      <b/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485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1" fillId="4" borderId="4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0" xfId="0" applyAlignment="1">
      <alignment horizontal="center"/>
    </xf>
    <xf numFmtId="0" fontId="1" fillId="4" borderId="3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vertical="center"/>
    </xf>
    <xf numFmtId="0" fontId="6" fillId="2" borderId="3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left" vertical="center" wrapText="1"/>
    </xf>
    <xf numFmtId="164" fontId="7" fillId="2" borderId="3" xfId="0" applyNumberFormat="1" applyFont="1" applyFill="1" applyBorder="1" applyAlignment="1">
      <alignment horizontal="center" vertical="center" wrapText="1"/>
    </xf>
    <xf numFmtId="164" fontId="6" fillId="2" borderId="3" xfId="0" applyNumberFormat="1" applyFont="1" applyFill="1" applyBorder="1" applyAlignment="1">
      <alignment horizontal="center" vertical="center" wrapText="1"/>
    </xf>
    <xf numFmtId="164" fontId="7" fillId="2" borderId="3" xfId="0" applyNumberFormat="1" applyFont="1" applyFill="1" applyBorder="1" applyAlignment="1">
      <alignment vertical="center" wrapText="1"/>
    </xf>
    <xf numFmtId="0" fontId="7" fillId="2" borderId="3" xfId="0" applyFont="1" applyFill="1" applyBorder="1" applyAlignment="1">
      <alignment vertical="center" wrapText="1"/>
    </xf>
    <xf numFmtId="0" fontId="5" fillId="2" borderId="3" xfId="0" applyFont="1" applyFill="1" applyBorder="1"/>
    <xf numFmtId="0" fontId="9" fillId="2" borderId="3" xfId="0" applyFont="1" applyFill="1" applyBorder="1" applyAlignment="1">
      <alignment horizontal="center" vertical="center" wrapText="1"/>
    </xf>
    <xf numFmtId="0" fontId="5" fillId="5" borderId="3" xfId="0" applyFont="1" applyFill="1" applyBorder="1"/>
    <xf numFmtId="0" fontId="6" fillId="5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left" vertical="center" wrapText="1"/>
    </xf>
    <xf numFmtId="164" fontId="7" fillId="5" borderId="3" xfId="0" applyNumberFormat="1" applyFont="1" applyFill="1" applyBorder="1" applyAlignment="1">
      <alignment horizontal="center" vertical="center" wrapText="1"/>
    </xf>
    <xf numFmtId="164" fontId="6" fillId="5" borderId="3" xfId="0" applyNumberFormat="1" applyFont="1" applyFill="1" applyBorder="1" applyAlignment="1">
      <alignment horizontal="center" vertical="center" wrapText="1"/>
    </xf>
    <xf numFmtId="164" fontId="7" fillId="5" borderId="3" xfId="0" applyNumberFormat="1" applyFont="1" applyFill="1" applyBorder="1" applyAlignment="1">
      <alignment vertical="center" wrapText="1"/>
    </xf>
    <xf numFmtId="0" fontId="7" fillId="5" borderId="3" xfId="0" applyFont="1" applyFill="1" applyBorder="1" applyAlignment="1">
      <alignment vertical="center" wrapText="1"/>
    </xf>
    <xf numFmtId="0" fontId="7" fillId="2" borderId="3" xfId="0" applyFont="1" applyFill="1" applyBorder="1" applyAlignment="1">
      <alignment horizontal="left" vertical="center" wrapText="1"/>
    </xf>
    <xf numFmtId="164" fontId="4" fillId="0" borderId="3" xfId="0" applyNumberFormat="1" applyFont="1" applyBorder="1" applyAlignment="1">
      <alignment vertical="center" wrapText="1"/>
    </xf>
    <xf numFmtId="0" fontId="10" fillId="2" borderId="3" xfId="0" applyFont="1" applyFill="1" applyBorder="1" applyAlignment="1">
      <alignment horizontal="left" vertical="center" wrapText="1"/>
    </xf>
    <xf numFmtId="0" fontId="4" fillId="0" borderId="3" xfId="0" applyFont="1" applyBorder="1" applyAlignment="1">
      <alignment vertical="center" wrapText="1"/>
    </xf>
    <xf numFmtId="0" fontId="11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164" fontId="4" fillId="0" borderId="3" xfId="0" applyNumberFormat="1" applyFont="1" applyBorder="1" applyAlignment="1">
      <alignment horizontal="center" vertical="center" wrapText="1"/>
    </xf>
    <xf numFmtId="0" fontId="5" fillId="2" borderId="0" xfId="0" applyFont="1" applyFill="1" applyAlignment="1">
      <alignment vertical="center"/>
    </xf>
    <xf numFmtId="0" fontId="5" fillId="2" borderId="0" xfId="0" applyFont="1" applyFill="1"/>
    <xf numFmtId="0" fontId="5" fillId="5" borderId="0" xfId="0" applyFont="1" applyFill="1"/>
    <xf numFmtId="0" fontId="0" fillId="0" borderId="4" xfId="0" applyBorder="1"/>
    <xf numFmtId="0" fontId="4" fillId="0" borderId="4" xfId="0" applyFont="1" applyBorder="1" applyAlignment="1">
      <alignment vertical="center" wrapText="1"/>
    </xf>
    <xf numFmtId="0" fontId="11" fillId="0" borderId="4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center" vertical="center" wrapText="1"/>
    </xf>
    <xf numFmtId="164" fontId="4" fillId="0" borderId="4" xfId="0" applyNumberFormat="1" applyFont="1" applyBorder="1" applyAlignment="1">
      <alignment horizontal="center" vertical="center" wrapText="1"/>
    </xf>
    <xf numFmtId="164" fontId="4" fillId="0" borderId="4" xfId="0" applyNumberFormat="1" applyFont="1" applyBorder="1" applyAlignment="1">
      <alignment vertical="center" wrapText="1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4" fontId="0" fillId="0" borderId="0" xfId="0" applyNumberFormat="1"/>
    <xf numFmtId="0" fontId="6" fillId="2" borderId="3" xfId="0" applyFont="1" applyFill="1" applyBorder="1" applyAlignment="1">
      <alignment vertical="center" wrapText="1"/>
    </xf>
    <xf numFmtId="0" fontId="6" fillId="2" borderId="4" xfId="0" applyFont="1" applyFill="1" applyBorder="1" applyAlignment="1">
      <alignment vertical="center" wrapText="1"/>
    </xf>
    <xf numFmtId="0" fontId="6" fillId="2" borderId="6" xfId="0" applyFont="1" applyFill="1" applyBorder="1" applyAlignment="1">
      <alignment vertical="center" wrapText="1"/>
    </xf>
    <xf numFmtId="0" fontId="6" fillId="2" borderId="7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3" fillId="3" borderId="4" xfId="0" applyFont="1" applyFill="1" applyBorder="1" applyAlignment="1">
      <alignment vertical="center" wrapText="1"/>
    </xf>
    <xf numFmtId="0" fontId="6" fillId="5" borderId="3" xfId="0" applyFont="1" applyFill="1" applyBorder="1" applyAlignment="1">
      <alignment vertical="center" wrapText="1"/>
    </xf>
    <xf numFmtId="164" fontId="3" fillId="3" borderId="3" xfId="0" applyNumberFormat="1" applyFont="1" applyFill="1" applyBorder="1" applyAlignment="1">
      <alignment vertical="center" wrapText="1"/>
    </xf>
    <xf numFmtId="0" fontId="3" fillId="3" borderId="4" xfId="0" applyFont="1" applyFill="1" applyBorder="1" applyAlignment="1">
      <alignment vertical="center"/>
    </xf>
    <xf numFmtId="164" fontId="3" fillId="3" borderId="4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15240</xdr:rowOff>
    </xdr:from>
    <xdr:to>
      <xdr:col>1</xdr:col>
      <xdr:colOff>723899</xdr:colOff>
      <xdr:row>1</xdr:row>
      <xdr:rowOff>510540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B974B49-E1C3-463C-A144-5EA8C9D687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698" y="205740"/>
          <a:ext cx="1371601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05FD4-41B0-4427-9133-59E8DF14EF67}">
  <dimension ref="A2:S30"/>
  <sheetViews>
    <sheetView tabSelected="1" topLeftCell="D1" workbookViewId="0">
      <selection activeCell="C30" sqref="C30"/>
    </sheetView>
  </sheetViews>
  <sheetFormatPr defaultColWidth="8.85546875" defaultRowHeight="15" x14ac:dyDescent="0.25"/>
  <cols>
    <col min="1" max="1" width="3.42578125" customWidth="1"/>
    <col min="2" max="2" width="36.85546875" customWidth="1"/>
    <col min="3" max="3" width="99.85546875" style="40" bestFit="1" customWidth="1"/>
    <col min="4" max="4" width="178" bestFit="1" customWidth="1"/>
    <col min="5" max="5" width="4" style="6" bestFit="1" customWidth="1"/>
    <col min="6" max="6" width="4.140625" style="41" bestFit="1" customWidth="1"/>
    <col min="7" max="7" width="4" style="41" bestFit="1" customWidth="1"/>
    <col min="8" max="8" width="4.140625" style="6" bestFit="1" customWidth="1"/>
    <col min="9" max="10" width="4" style="6" bestFit="1" customWidth="1"/>
    <col min="11" max="12" width="3.42578125" style="6" bestFit="1" customWidth="1"/>
    <col min="13" max="13" width="3.85546875" style="6" bestFit="1" customWidth="1"/>
    <col min="14" max="14" width="3.7109375" style="6" bestFit="1" customWidth="1"/>
    <col min="15" max="16" width="3.5703125" style="6" bestFit="1" customWidth="1"/>
    <col min="17" max="17" width="12" style="42" bestFit="1" customWidth="1"/>
    <col min="18" max="18" width="13.140625" style="42" bestFit="1" customWidth="1"/>
    <col min="19" max="19" width="60.28515625" bestFit="1" customWidth="1"/>
  </cols>
  <sheetData>
    <row r="2" spans="1:19" ht="42" customHeight="1" x14ac:dyDescent="0.25">
      <c r="A2" s="1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8"/>
      <c r="R2"/>
    </row>
    <row r="3" spans="1:19" ht="21" customHeight="1" x14ac:dyDescent="0.25">
      <c r="A3" s="1"/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8"/>
      <c r="R3"/>
    </row>
    <row r="4" spans="1:19" s="8" customFormat="1" ht="36.75" customHeight="1" x14ac:dyDescent="0.25">
      <c r="A4" s="2"/>
      <c r="B4" s="49" t="s">
        <v>21</v>
      </c>
      <c r="C4" s="7" t="s">
        <v>18</v>
      </c>
      <c r="D4" s="3" t="s">
        <v>1</v>
      </c>
      <c r="E4" s="4" t="s">
        <v>2</v>
      </c>
      <c r="F4" s="4" t="s">
        <v>3</v>
      </c>
      <c r="G4" s="4" t="s">
        <v>4</v>
      </c>
      <c r="H4" s="4" t="s">
        <v>5</v>
      </c>
      <c r="I4" s="4" t="s">
        <v>6</v>
      </c>
      <c r="J4" s="4" t="s">
        <v>7</v>
      </c>
      <c r="K4" s="4" t="s">
        <v>8</v>
      </c>
      <c r="L4" s="4" t="s">
        <v>9</v>
      </c>
      <c r="M4" s="4" t="s">
        <v>10</v>
      </c>
      <c r="N4" s="4" t="s">
        <v>11</v>
      </c>
      <c r="O4" s="4" t="s">
        <v>12</v>
      </c>
      <c r="P4" s="4" t="s">
        <v>13</v>
      </c>
      <c r="Q4" s="51" t="s">
        <v>19</v>
      </c>
      <c r="R4" s="53" t="s">
        <v>20</v>
      </c>
      <c r="S4" s="52" t="s">
        <v>0</v>
      </c>
    </row>
    <row r="5" spans="1:19" s="15" customFormat="1" ht="48.6" customHeight="1" x14ac:dyDescent="0.25">
      <c r="A5" s="31"/>
      <c r="B5" s="43" t="s">
        <v>22</v>
      </c>
      <c r="C5" s="10" t="s">
        <v>23</v>
      </c>
      <c r="D5" s="9" t="s">
        <v>24</v>
      </c>
      <c r="E5" s="11" t="s">
        <v>14</v>
      </c>
      <c r="F5" s="12" t="s">
        <v>14</v>
      </c>
      <c r="G5" s="12" t="s">
        <v>14</v>
      </c>
      <c r="H5" s="11" t="s">
        <v>14</v>
      </c>
      <c r="I5" s="12" t="s">
        <v>14</v>
      </c>
      <c r="J5" s="11" t="s">
        <v>14</v>
      </c>
      <c r="K5" s="12" t="s">
        <v>14</v>
      </c>
      <c r="L5" s="12" t="s">
        <v>14</v>
      </c>
      <c r="M5" s="11" t="s">
        <v>14</v>
      </c>
      <c r="N5" s="12" t="s">
        <v>14</v>
      </c>
      <c r="O5" s="11" t="s">
        <v>14</v>
      </c>
      <c r="P5" s="12" t="s">
        <v>14</v>
      </c>
      <c r="Q5" s="13"/>
      <c r="R5" s="13">
        <v>5000</v>
      </c>
      <c r="S5" s="14" t="s">
        <v>25</v>
      </c>
    </row>
    <row r="6" spans="1:19" s="15" customFormat="1" ht="43.15" customHeight="1" x14ac:dyDescent="0.25">
      <c r="A6" s="31"/>
      <c r="B6" s="43" t="s">
        <v>22</v>
      </c>
      <c r="C6" s="10" t="s">
        <v>26</v>
      </c>
      <c r="D6" s="9" t="s">
        <v>27</v>
      </c>
      <c r="E6" s="11" t="s">
        <v>14</v>
      </c>
      <c r="F6" s="12" t="s">
        <v>14</v>
      </c>
      <c r="G6" s="12" t="s">
        <v>14</v>
      </c>
      <c r="H6" s="11" t="s">
        <v>14</v>
      </c>
      <c r="I6" s="12" t="s">
        <v>14</v>
      </c>
      <c r="J6" s="11" t="s">
        <v>14</v>
      </c>
      <c r="K6" s="12" t="s">
        <v>14</v>
      </c>
      <c r="L6" s="12" t="s">
        <v>14</v>
      </c>
      <c r="M6" s="11" t="s">
        <v>14</v>
      </c>
      <c r="N6" s="12" t="s">
        <v>14</v>
      </c>
      <c r="O6" s="11" t="s">
        <v>14</v>
      </c>
      <c r="P6" s="12" t="s">
        <v>14</v>
      </c>
      <c r="Q6" s="13"/>
      <c r="R6" s="13"/>
      <c r="S6" s="14"/>
    </row>
    <row r="7" spans="1:19" s="15" customFormat="1" ht="48.6" customHeight="1" x14ac:dyDescent="0.25">
      <c r="A7" s="31"/>
      <c r="B7" s="43" t="s">
        <v>22</v>
      </c>
      <c r="C7" s="10" t="s">
        <v>28</v>
      </c>
      <c r="D7" s="9"/>
      <c r="E7" s="11" t="s">
        <v>14</v>
      </c>
      <c r="F7" s="12" t="s">
        <v>14</v>
      </c>
      <c r="G7" s="12" t="s">
        <v>14</v>
      </c>
      <c r="H7" s="11" t="s">
        <v>14</v>
      </c>
      <c r="I7" s="12" t="s">
        <v>14</v>
      </c>
      <c r="J7" s="11" t="s">
        <v>14</v>
      </c>
      <c r="K7" s="12" t="s">
        <v>14</v>
      </c>
      <c r="L7" s="12" t="s">
        <v>14</v>
      </c>
      <c r="M7" s="11" t="s">
        <v>14</v>
      </c>
      <c r="N7" s="12" t="s">
        <v>14</v>
      </c>
      <c r="O7" s="11" t="s">
        <v>14</v>
      </c>
      <c r="P7" s="12" t="s">
        <v>14</v>
      </c>
      <c r="Q7" s="13">
        <v>500</v>
      </c>
      <c r="R7" s="13">
        <f>SUM(Q7*12)</f>
        <v>6000</v>
      </c>
      <c r="S7" s="14"/>
    </row>
    <row r="8" spans="1:19" s="15" customFormat="1" ht="37.15" customHeight="1" x14ac:dyDescent="0.25">
      <c r="A8" s="31"/>
      <c r="B8" s="43" t="s">
        <v>22</v>
      </c>
      <c r="C8" s="10" t="s">
        <v>29</v>
      </c>
      <c r="D8" s="9"/>
      <c r="E8" s="11" t="s">
        <v>14</v>
      </c>
      <c r="F8" s="12" t="s">
        <v>14</v>
      </c>
      <c r="G8" s="12" t="s">
        <v>14</v>
      </c>
      <c r="H8" s="11" t="s">
        <v>14</v>
      </c>
      <c r="I8" s="12" t="s">
        <v>14</v>
      </c>
      <c r="J8" s="11" t="s">
        <v>14</v>
      </c>
      <c r="K8" s="12" t="s">
        <v>14</v>
      </c>
      <c r="L8" s="12" t="s">
        <v>14</v>
      </c>
      <c r="M8" s="11" t="s">
        <v>14</v>
      </c>
      <c r="N8" s="12" t="s">
        <v>14</v>
      </c>
      <c r="O8" s="11" t="s">
        <v>14</v>
      </c>
      <c r="P8" s="12" t="s">
        <v>14</v>
      </c>
      <c r="Q8" s="13"/>
      <c r="R8" s="13"/>
      <c r="S8" s="14"/>
    </row>
    <row r="9" spans="1:19" s="15" customFormat="1" ht="49.9" customHeight="1" x14ac:dyDescent="0.25">
      <c r="A9" s="31"/>
      <c r="B9" s="9" t="s">
        <v>15</v>
      </c>
      <c r="C9" s="10" t="s">
        <v>30</v>
      </c>
      <c r="D9" s="16"/>
      <c r="E9" s="11" t="s">
        <v>14</v>
      </c>
      <c r="F9" s="12" t="s">
        <v>14</v>
      </c>
      <c r="G9" s="12" t="s">
        <v>14</v>
      </c>
      <c r="H9" s="11" t="s">
        <v>14</v>
      </c>
      <c r="I9" s="12" t="s">
        <v>14</v>
      </c>
      <c r="J9" s="11" t="s">
        <v>14</v>
      </c>
      <c r="K9" s="12" t="s">
        <v>14</v>
      </c>
      <c r="L9" s="12" t="s">
        <v>14</v>
      </c>
      <c r="M9" s="11" t="s">
        <v>14</v>
      </c>
      <c r="N9" s="12" t="s">
        <v>14</v>
      </c>
      <c r="O9" s="11" t="s">
        <v>14</v>
      </c>
      <c r="P9" s="12" t="s">
        <v>14</v>
      </c>
      <c r="Q9" s="13"/>
      <c r="R9" s="13"/>
      <c r="S9" s="14"/>
    </row>
    <row r="10" spans="1:19" s="15" customFormat="1" ht="42.6" customHeight="1" x14ac:dyDescent="0.25">
      <c r="A10" s="32"/>
      <c r="B10" s="9" t="s">
        <v>16</v>
      </c>
      <c r="C10" s="10" t="s">
        <v>31</v>
      </c>
      <c r="D10" s="9" t="s">
        <v>32</v>
      </c>
      <c r="E10" s="11" t="s">
        <v>14</v>
      </c>
      <c r="F10" s="12" t="s">
        <v>14</v>
      </c>
      <c r="G10" s="12" t="s">
        <v>14</v>
      </c>
      <c r="H10" s="11" t="s">
        <v>14</v>
      </c>
      <c r="I10" s="12" t="s">
        <v>14</v>
      </c>
      <c r="J10" s="11" t="s">
        <v>14</v>
      </c>
      <c r="K10" s="12" t="s">
        <v>14</v>
      </c>
      <c r="L10" s="12" t="s">
        <v>14</v>
      </c>
      <c r="M10" s="11" t="s">
        <v>14</v>
      </c>
      <c r="N10" s="12" t="s">
        <v>14</v>
      </c>
      <c r="O10" s="11" t="s">
        <v>14</v>
      </c>
      <c r="P10" s="12" t="s">
        <v>14</v>
      </c>
      <c r="Q10" s="13"/>
      <c r="R10" s="13"/>
      <c r="S10" s="14"/>
    </row>
    <row r="11" spans="1:19" s="17" customFormat="1" ht="37.9" customHeight="1" x14ac:dyDescent="0.25">
      <c r="A11" s="33"/>
      <c r="B11" s="50" t="s">
        <v>33</v>
      </c>
      <c r="C11" s="19" t="s">
        <v>34</v>
      </c>
      <c r="D11" s="18" t="s">
        <v>35</v>
      </c>
      <c r="E11" s="20" t="s">
        <v>14</v>
      </c>
      <c r="F11" s="21" t="s">
        <v>14</v>
      </c>
      <c r="G11" s="21" t="s">
        <v>14</v>
      </c>
      <c r="H11" s="20" t="s">
        <v>14</v>
      </c>
      <c r="I11" s="21" t="s">
        <v>14</v>
      </c>
      <c r="J11" s="20" t="s">
        <v>14</v>
      </c>
      <c r="K11" s="21" t="s">
        <v>14</v>
      </c>
      <c r="L11" s="21" t="s">
        <v>14</v>
      </c>
      <c r="M11" s="20" t="s">
        <v>14</v>
      </c>
      <c r="N11" s="21" t="s">
        <v>14</v>
      </c>
      <c r="O11" s="20" t="s">
        <v>14</v>
      </c>
      <c r="P11" s="21" t="s">
        <v>14</v>
      </c>
      <c r="Q11" s="22"/>
      <c r="R11" s="22"/>
      <c r="S11" s="23" t="s">
        <v>36</v>
      </c>
    </row>
    <row r="12" spans="1:19" s="17" customFormat="1" ht="36.6" customHeight="1" x14ac:dyDescent="0.25">
      <c r="A12" s="33"/>
      <c r="B12" s="50" t="s">
        <v>33</v>
      </c>
      <c r="C12" s="19" t="s">
        <v>37</v>
      </c>
      <c r="D12" s="18" t="s">
        <v>38</v>
      </c>
      <c r="E12" s="20" t="s">
        <v>14</v>
      </c>
      <c r="F12" s="21" t="s">
        <v>14</v>
      </c>
      <c r="G12" s="21" t="s">
        <v>14</v>
      </c>
      <c r="H12" s="20" t="s">
        <v>14</v>
      </c>
      <c r="I12" s="21" t="s">
        <v>14</v>
      </c>
      <c r="J12" s="20" t="s">
        <v>14</v>
      </c>
      <c r="K12" s="21" t="s">
        <v>14</v>
      </c>
      <c r="L12" s="21" t="s">
        <v>14</v>
      </c>
      <c r="M12" s="20" t="s">
        <v>14</v>
      </c>
      <c r="N12" s="21" t="s">
        <v>14</v>
      </c>
      <c r="O12" s="20" t="s">
        <v>14</v>
      </c>
      <c r="P12" s="21" t="s">
        <v>14</v>
      </c>
      <c r="Q12" s="22"/>
      <c r="R12" s="22"/>
      <c r="S12" s="23" t="s">
        <v>39</v>
      </c>
    </row>
    <row r="13" spans="1:19" s="15" customFormat="1" ht="50.45" customHeight="1" x14ac:dyDescent="0.25">
      <c r="A13" s="32"/>
      <c r="B13" s="9" t="s">
        <v>17</v>
      </c>
      <c r="C13" s="10" t="s">
        <v>40</v>
      </c>
      <c r="D13" s="9" t="s">
        <v>41</v>
      </c>
      <c r="E13" s="11" t="s">
        <v>14</v>
      </c>
      <c r="F13" s="12" t="s">
        <v>14</v>
      </c>
      <c r="G13" s="12" t="s">
        <v>14</v>
      </c>
      <c r="H13" s="11" t="s">
        <v>14</v>
      </c>
      <c r="I13" s="12" t="s">
        <v>14</v>
      </c>
      <c r="J13" s="11" t="s">
        <v>14</v>
      </c>
      <c r="K13" s="12" t="s">
        <v>14</v>
      </c>
      <c r="L13" s="12" t="s">
        <v>14</v>
      </c>
      <c r="M13" s="11" t="s">
        <v>14</v>
      </c>
      <c r="N13" s="12" t="s">
        <v>14</v>
      </c>
      <c r="O13" s="11" t="s">
        <v>14</v>
      </c>
      <c r="P13" s="12" t="s">
        <v>14</v>
      </c>
      <c r="Q13" s="13">
        <v>1000</v>
      </c>
      <c r="R13" s="13">
        <f>SUM(Q13*12)</f>
        <v>12000</v>
      </c>
      <c r="S13" s="14"/>
    </row>
    <row r="14" spans="1:19" s="15" customFormat="1" ht="37.9" customHeight="1" x14ac:dyDescent="0.25">
      <c r="A14" s="32"/>
      <c r="B14" s="44" t="s">
        <v>42</v>
      </c>
      <c r="C14" s="24" t="s">
        <v>43</v>
      </c>
      <c r="D14" s="44" t="s">
        <v>44</v>
      </c>
      <c r="E14" s="11" t="s">
        <v>14</v>
      </c>
      <c r="F14" s="12"/>
      <c r="G14" s="12"/>
      <c r="H14" s="11"/>
      <c r="I14" s="12"/>
      <c r="J14" s="11"/>
      <c r="K14" s="12"/>
      <c r="L14" s="12"/>
      <c r="M14" s="11"/>
      <c r="N14" s="12"/>
      <c r="O14" s="11"/>
      <c r="P14" s="12"/>
      <c r="Q14" s="13"/>
      <c r="R14" s="13"/>
      <c r="S14" s="14"/>
    </row>
    <row r="15" spans="1:19" s="15" customFormat="1" ht="26.45" customHeight="1" x14ac:dyDescent="0.25">
      <c r="A15" s="32"/>
      <c r="B15" s="44" t="s">
        <v>42</v>
      </c>
      <c r="C15" s="24" t="s">
        <v>45</v>
      </c>
      <c r="D15" s="45"/>
      <c r="E15" s="11" t="s">
        <v>14</v>
      </c>
      <c r="F15" s="12" t="s">
        <v>14</v>
      </c>
      <c r="G15" s="12" t="s">
        <v>14</v>
      </c>
      <c r="H15" s="11" t="s">
        <v>14</v>
      </c>
      <c r="I15" s="12" t="s">
        <v>14</v>
      </c>
      <c r="J15" s="11" t="s">
        <v>14</v>
      </c>
      <c r="K15" s="12" t="s">
        <v>14</v>
      </c>
      <c r="L15" s="12" t="s">
        <v>14</v>
      </c>
      <c r="M15" s="11" t="s">
        <v>14</v>
      </c>
      <c r="N15" s="12" t="s">
        <v>14</v>
      </c>
      <c r="O15" s="11" t="s">
        <v>14</v>
      </c>
      <c r="P15" s="12" t="s">
        <v>14</v>
      </c>
      <c r="Q15" s="13"/>
      <c r="R15" s="13"/>
      <c r="S15" s="14"/>
    </row>
    <row r="16" spans="1:19" s="15" customFormat="1" ht="37.9" customHeight="1" x14ac:dyDescent="0.25">
      <c r="A16" s="32"/>
      <c r="B16" s="44" t="s">
        <v>42</v>
      </c>
      <c r="C16" s="24" t="s">
        <v>46</v>
      </c>
      <c r="D16" s="45"/>
      <c r="E16" s="11" t="s">
        <v>14</v>
      </c>
      <c r="F16" s="12" t="s">
        <v>14</v>
      </c>
      <c r="G16" s="12" t="s">
        <v>14</v>
      </c>
      <c r="H16" s="11" t="s">
        <v>14</v>
      </c>
      <c r="I16" s="12" t="s">
        <v>14</v>
      </c>
      <c r="J16" s="11" t="s">
        <v>14</v>
      </c>
      <c r="K16" s="12" t="s">
        <v>14</v>
      </c>
      <c r="L16" s="12" t="s">
        <v>14</v>
      </c>
      <c r="M16" s="11" t="s">
        <v>14</v>
      </c>
      <c r="N16" s="12" t="s">
        <v>14</v>
      </c>
      <c r="O16" s="11" t="s">
        <v>14</v>
      </c>
      <c r="P16" s="12" t="s">
        <v>14</v>
      </c>
      <c r="Q16" s="13">
        <v>5000</v>
      </c>
      <c r="R16" s="13">
        <f>SUM(Q16*12)</f>
        <v>60000</v>
      </c>
      <c r="S16" s="14" t="s">
        <v>47</v>
      </c>
    </row>
    <row r="17" spans="1:19" s="15" customFormat="1" ht="26.45" customHeight="1" x14ac:dyDescent="0.25">
      <c r="A17" s="32"/>
      <c r="B17" s="44" t="s">
        <v>42</v>
      </c>
      <c r="C17" s="24" t="s">
        <v>48</v>
      </c>
      <c r="D17" s="45"/>
      <c r="E17" s="11" t="s">
        <v>14</v>
      </c>
      <c r="F17" s="12" t="s">
        <v>14</v>
      </c>
      <c r="G17" s="12" t="s">
        <v>14</v>
      </c>
      <c r="H17" s="11" t="s">
        <v>14</v>
      </c>
      <c r="I17" s="12" t="s">
        <v>14</v>
      </c>
      <c r="J17" s="11" t="s">
        <v>14</v>
      </c>
      <c r="K17" s="12" t="s">
        <v>14</v>
      </c>
      <c r="L17" s="12" t="s">
        <v>14</v>
      </c>
      <c r="M17" s="11" t="s">
        <v>14</v>
      </c>
      <c r="N17" s="12" t="s">
        <v>14</v>
      </c>
      <c r="O17" s="11" t="s">
        <v>14</v>
      </c>
      <c r="P17" s="12" t="s">
        <v>14</v>
      </c>
      <c r="Q17" s="13"/>
      <c r="R17" s="13"/>
      <c r="S17" s="14"/>
    </row>
    <row r="18" spans="1:19" s="15" customFormat="1" ht="26.45" customHeight="1" x14ac:dyDescent="0.25">
      <c r="A18" s="32"/>
      <c r="B18" s="44" t="s">
        <v>42</v>
      </c>
      <c r="C18" s="24" t="s">
        <v>49</v>
      </c>
      <c r="D18" s="45"/>
      <c r="E18" s="11" t="s">
        <v>14</v>
      </c>
      <c r="F18" s="12" t="s">
        <v>14</v>
      </c>
      <c r="G18" s="12" t="s">
        <v>14</v>
      </c>
      <c r="H18" s="11" t="s">
        <v>14</v>
      </c>
      <c r="I18" s="12" t="s">
        <v>14</v>
      </c>
      <c r="J18" s="11" t="s">
        <v>14</v>
      </c>
      <c r="K18" s="12" t="s">
        <v>14</v>
      </c>
      <c r="L18" s="12" t="s">
        <v>14</v>
      </c>
      <c r="M18" s="11" t="s">
        <v>14</v>
      </c>
      <c r="N18" s="12" t="s">
        <v>14</v>
      </c>
      <c r="O18" s="11" t="s">
        <v>14</v>
      </c>
      <c r="P18" s="12" t="s">
        <v>14</v>
      </c>
      <c r="Q18" s="13"/>
      <c r="R18" s="13"/>
      <c r="S18" s="14"/>
    </row>
    <row r="19" spans="1:19" s="15" customFormat="1" ht="26.45" customHeight="1" x14ac:dyDescent="0.25">
      <c r="A19" s="32"/>
      <c r="B19" s="44" t="s">
        <v>42</v>
      </c>
      <c r="C19" s="10" t="s">
        <v>50</v>
      </c>
      <c r="D19" s="45"/>
      <c r="E19" s="11"/>
      <c r="F19" s="12"/>
      <c r="G19" s="12" t="s">
        <v>14</v>
      </c>
      <c r="H19" s="11"/>
      <c r="I19" s="12"/>
      <c r="J19" s="11"/>
      <c r="K19" s="12"/>
      <c r="L19" s="12"/>
      <c r="M19" s="11"/>
      <c r="N19" s="12"/>
      <c r="O19" s="11"/>
      <c r="P19" s="12"/>
      <c r="Q19" s="13"/>
      <c r="R19" s="13">
        <v>10000</v>
      </c>
      <c r="S19" s="14"/>
    </row>
    <row r="20" spans="1:19" s="15" customFormat="1" ht="37.9" customHeight="1" x14ac:dyDescent="0.25">
      <c r="A20" s="32"/>
      <c r="B20" s="44" t="s">
        <v>42</v>
      </c>
      <c r="C20" s="24" t="s">
        <v>51</v>
      </c>
      <c r="D20" s="45"/>
      <c r="E20" s="11" t="s">
        <v>14</v>
      </c>
      <c r="F20" s="12" t="s">
        <v>14</v>
      </c>
      <c r="G20" s="12" t="s">
        <v>14</v>
      </c>
      <c r="H20" s="11" t="s">
        <v>14</v>
      </c>
      <c r="I20" s="12" t="s">
        <v>14</v>
      </c>
      <c r="J20" s="11" t="s">
        <v>14</v>
      </c>
      <c r="K20" s="12" t="s">
        <v>14</v>
      </c>
      <c r="L20" s="12" t="s">
        <v>14</v>
      </c>
      <c r="M20" s="11" t="s">
        <v>14</v>
      </c>
      <c r="N20" s="12" t="s">
        <v>14</v>
      </c>
      <c r="O20" s="11" t="s">
        <v>14</v>
      </c>
      <c r="P20" s="12" t="s">
        <v>14</v>
      </c>
      <c r="Q20" s="13">
        <v>1500</v>
      </c>
      <c r="R20" s="25">
        <f t="shared" ref="R20:R27" si="0">SUM(Q20*12)</f>
        <v>18000</v>
      </c>
      <c r="S20" s="14" t="s">
        <v>52</v>
      </c>
    </row>
    <row r="21" spans="1:19" s="15" customFormat="1" ht="26.45" customHeight="1" x14ac:dyDescent="0.25">
      <c r="A21" s="32"/>
      <c r="B21" s="44" t="s">
        <v>42</v>
      </c>
      <c r="C21" s="24" t="s">
        <v>53</v>
      </c>
      <c r="D21" s="45"/>
      <c r="E21" s="11" t="s">
        <v>14</v>
      </c>
      <c r="F21" s="12" t="s">
        <v>14</v>
      </c>
      <c r="G21" s="12" t="s">
        <v>14</v>
      </c>
      <c r="H21" s="11" t="s">
        <v>14</v>
      </c>
      <c r="I21" s="12" t="s">
        <v>14</v>
      </c>
      <c r="J21" s="11" t="s">
        <v>14</v>
      </c>
      <c r="K21" s="12" t="s">
        <v>14</v>
      </c>
      <c r="L21" s="12" t="s">
        <v>14</v>
      </c>
      <c r="M21" s="11" t="s">
        <v>14</v>
      </c>
      <c r="N21" s="12" t="s">
        <v>14</v>
      </c>
      <c r="O21" s="11" t="s">
        <v>14</v>
      </c>
      <c r="P21" s="12" t="s">
        <v>14</v>
      </c>
      <c r="Q21" s="13"/>
      <c r="R21" s="25">
        <f t="shared" si="0"/>
        <v>0</v>
      </c>
      <c r="S21" s="14" t="s">
        <v>54</v>
      </c>
    </row>
    <row r="22" spans="1:19" s="15" customFormat="1" ht="37.9" customHeight="1" x14ac:dyDescent="0.25">
      <c r="A22" s="32"/>
      <c r="B22" s="44" t="s">
        <v>42</v>
      </c>
      <c r="C22" s="24" t="s">
        <v>55</v>
      </c>
      <c r="D22" s="45"/>
      <c r="E22" s="11" t="s">
        <v>14</v>
      </c>
      <c r="F22" s="12" t="s">
        <v>14</v>
      </c>
      <c r="G22" s="12" t="s">
        <v>14</v>
      </c>
      <c r="H22" s="11" t="s">
        <v>14</v>
      </c>
      <c r="I22" s="12" t="s">
        <v>14</v>
      </c>
      <c r="J22" s="11" t="s">
        <v>14</v>
      </c>
      <c r="K22" s="12" t="s">
        <v>14</v>
      </c>
      <c r="L22" s="12" t="s">
        <v>14</v>
      </c>
      <c r="M22" s="11" t="s">
        <v>14</v>
      </c>
      <c r="N22" s="12" t="s">
        <v>14</v>
      </c>
      <c r="O22" s="11" t="s">
        <v>14</v>
      </c>
      <c r="P22" s="12" t="s">
        <v>14</v>
      </c>
      <c r="Q22" s="13">
        <v>1500</v>
      </c>
      <c r="R22" s="25">
        <f t="shared" si="0"/>
        <v>18000</v>
      </c>
      <c r="S22" s="14"/>
    </row>
    <row r="23" spans="1:19" s="15" customFormat="1" ht="37.9" customHeight="1" x14ac:dyDescent="0.25">
      <c r="A23" s="32"/>
      <c r="B23" s="44" t="s">
        <v>42</v>
      </c>
      <c r="C23" s="24" t="s">
        <v>56</v>
      </c>
      <c r="D23" s="45"/>
      <c r="E23" s="11" t="s">
        <v>14</v>
      </c>
      <c r="F23" s="12" t="s">
        <v>14</v>
      </c>
      <c r="G23" s="12" t="s">
        <v>14</v>
      </c>
      <c r="H23" s="11" t="s">
        <v>14</v>
      </c>
      <c r="I23" s="12" t="s">
        <v>14</v>
      </c>
      <c r="J23" s="11" t="s">
        <v>14</v>
      </c>
      <c r="K23" s="12" t="s">
        <v>14</v>
      </c>
      <c r="L23" s="12" t="s">
        <v>14</v>
      </c>
      <c r="M23" s="11" t="s">
        <v>14</v>
      </c>
      <c r="N23" s="12" t="s">
        <v>14</v>
      </c>
      <c r="O23" s="11" t="s">
        <v>14</v>
      </c>
      <c r="P23" s="12" t="s">
        <v>14</v>
      </c>
      <c r="Q23" s="13">
        <v>1500</v>
      </c>
      <c r="R23" s="25">
        <f t="shared" si="0"/>
        <v>18000</v>
      </c>
      <c r="S23" s="14" t="s">
        <v>57</v>
      </c>
    </row>
    <row r="24" spans="1:19" s="15" customFormat="1" ht="26.45" customHeight="1" x14ac:dyDescent="0.25">
      <c r="A24" s="32"/>
      <c r="B24" s="44" t="s">
        <v>42</v>
      </c>
      <c r="C24" s="24" t="s">
        <v>58</v>
      </c>
      <c r="D24" s="45"/>
      <c r="E24" s="11" t="s">
        <v>14</v>
      </c>
      <c r="F24" s="12" t="s">
        <v>14</v>
      </c>
      <c r="G24" s="12" t="s">
        <v>14</v>
      </c>
      <c r="H24" s="11" t="s">
        <v>14</v>
      </c>
      <c r="I24" s="12" t="s">
        <v>14</v>
      </c>
      <c r="J24" s="11" t="s">
        <v>14</v>
      </c>
      <c r="K24" s="12" t="s">
        <v>14</v>
      </c>
      <c r="L24" s="12" t="s">
        <v>14</v>
      </c>
      <c r="M24" s="11" t="s">
        <v>14</v>
      </c>
      <c r="N24" s="12" t="s">
        <v>14</v>
      </c>
      <c r="O24" s="11" t="s">
        <v>14</v>
      </c>
      <c r="P24" s="12" t="s">
        <v>14</v>
      </c>
      <c r="Q24" s="13"/>
      <c r="R24" s="25">
        <f t="shared" si="0"/>
        <v>0</v>
      </c>
      <c r="S24" s="14"/>
    </row>
    <row r="25" spans="1:19" s="15" customFormat="1" ht="37.9" customHeight="1" x14ac:dyDescent="0.25">
      <c r="A25" s="32"/>
      <c r="B25" s="44" t="s">
        <v>42</v>
      </c>
      <c r="C25" s="24" t="s">
        <v>59</v>
      </c>
      <c r="D25" s="45"/>
      <c r="E25" s="11" t="s">
        <v>14</v>
      </c>
      <c r="F25" s="12" t="s">
        <v>14</v>
      </c>
      <c r="G25" s="12" t="s">
        <v>14</v>
      </c>
      <c r="H25" s="11" t="s">
        <v>14</v>
      </c>
      <c r="I25" s="12" t="s">
        <v>14</v>
      </c>
      <c r="J25" s="11" t="s">
        <v>14</v>
      </c>
      <c r="K25" s="12" t="s">
        <v>14</v>
      </c>
      <c r="L25" s="12" t="s">
        <v>14</v>
      </c>
      <c r="M25" s="11" t="s">
        <v>14</v>
      </c>
      <c r="N25" s="12" t="s">
        <v>14</v>
      </c>
      <c r="O25" s="11" t="s">
        <v>14</v>
      </c>
      <c r="P25" s="12" t="s">
        <v>14</v>
      </c>
      <c r="Q25" s="13"/>
      <c r="R25" s="25">
        <f t="shared" si="0"/>
        <v>0</v>
      </c>
      <c r="S25" s="14"/>
    </row>
    <row r="26" spans="1:19" s="15" customFormat="1" ht="16.899999999999999" customHeight="1" x14ac:dyDescent="0.25">
      <c r="A26" s="32"/>
      <c r="B26" s="44" t="s">
        <v>42</v>
      </c>
      <c r="C26" s="26" t="s">
        <v>60</v>
      </c>
      <c r="D26" s="45"/>
      <c r="E26" s="11"/>
      <c r="F26" s="12"/>
      <c r="G26" s="12"/>
      <c r="H26" s="11" t="s">
        <v>14</v>
      </c>
      <c r="I26" s="12"/>
      <c r="J26" s="11"/>
      <c r="K26" s="12"/>
      <c r="L26" s="12"/>
      <c r="M26" s="11"/>
      <c r="N26" s="12"/>
      <c r="O26" s="11"/>
      <c r="P26" s="12"/>
      <c r="Q26" s="13"/>
      <c r="R26" s="25">
        <v>120000</v>
      </c>
      <c r="S26" s="14" t="s">
        <v>61</v>
      </c>
    </row>
    <row r="27" spans="1:19" s="5" customFormat="1" ht="150" x14ac:dyDescent="0.25">
      <c r="A27"/>
      <c r="B27" s="44" t="s">
        <v>42</v>
      </c>
      <c r="C27" s="28" t="s">
        <v>62</v>
      </c>
      <c r="D27" s="45"/>
      <c r="E27" s="11" t="s">
        <v>14</v>
      </c>
      <c r="F27" s="12" t="s">
        <v>14</v>
      </c>
      <c r="G27" s="12" t="s">
        <v>14</v>
      </c>
      <c r="H27" s="11" t="s">
        <v>14</v>
      </c>
      <c r="I27" s="12" t="s">
        <v>14</v>
      </c>
      <c r="J27" s="11" t="s">
        <v>14</v>
      </c>
      <c r="K27" s="12" t="s">
        <v>14</v>
      </c>
      <c r="L27" s="12" t="s">
        <v>14</v>
      </c>
      <c r="M27" s="11" t="s">
        <v>14</v>
      </c>
      <c r="N27" s="12" t="s">
        <v>14</v>
      </c>
      <c r="O27" s="11" t="s">
        <v>14</v>
      </c>
      <c r="P27" s="12" t="s">
        <v>14</v>
      </c>
      <c r="Q27" s="25">
        <v>20000</v>
      </c>
      <c r="R27" s="25">
        <f t="shared" si="0"/>
        <v>240000</v>
      </c>
      <c r="S27" s="27"/>
    </row>
    <row r="28" spans="1:19" s="5" customFormat="1" ht="150" x14ac:dyDescent="0.25">
      <c r="A28"/>
      <c r="B28" s="44" t="s">
        <v>42</v>
      </c>
      <c r="C28" s="28" t="s">
        <v>63</v>
      </c>
      <c r="D28" s="45"/>
      <c r="E28" s="11" t="s">
        <v>14</v>
      </c>
      <c r="F28" s="12" t="s">
        <v>14</v>
      </c>
      <c r="G28" s="12" t="s">
        <v>14</v>
      </c>
      <c r="H28" s="11" t="s">
        <v>14</v>
      </c>
      <c r="I28" s="12" t="s">
        <v>14</v>
      </c>
      <c r="J28" s="11" t="s">
        <v>14</v>
      </c>
      <c r="K28" s="12" t="s">
        <v>14</v>
      </c>
      <c r="L28" s="12" t="s">
        <v>14</v>
      </c>
      <c r="M28" s="11" t="s">
        <v>14</v>
      </c>
      <c r="N28" s="12" t="s">
        <v>14</v>
      </c>
      <c r="O28" s="11" t="s">
        <v>14</v>
      </c>
      <c r="P28" s="12" t="s">
        <v>14</v>
      </c>
      <c r="Q28" s="25">
        <v>3500</v>
      </c>
      <c r="R28" s="25">
        <f>SUM(Q28*12)</f>
        <v>42000</v>
      </c>
      <c r="S28" s="27"/>
    </row>
    <row r="29" spans="1:19" s="5" customFormat="1" ht="150" x14ac:dyDescent="0.25">
      <c r="A29"/>
      <c r="B29" s="44" t="s">
        <v>42</v>
      </c>
      <c r="C29" s="28" t="s">
        <v>64</v>
      </c>
      <c r="D29" s="45"/>
      <c r="E29" s="29" t="s">
        <v>14</v>
      </c>
      <c r="F29" s="30"/>
      <c r="G29" s="30"/>
      <c r="H29" s="29"/>
      <c r="I29" s="29"/>
      <c r="J29" s="29"/>
      <c r="K29" s="29"/>
      <c r="L29" s="29"/>
      <c r="M29" s="29"/>
      <c r="N29" s="29"/>
      <c r="O29" s="29"/>
      <c r="P29" s="29"/>
      <c r="Q29" s="25"/>
      <c r="R29" s="25">
        <v>3000</v>
      </c>
      <c r="S29" s="27"/>
    </row>
    <row r="30" spans="1:19" s="34" customFormat="1" ht="150" x14ac:dyDescent="0.25">
      <c r="A30"/>
      <c r="B30" s="44" t="s">
        <v>42</v>
      </c>
      <c r="C30" s="36" t="s">
        <v>65</v>
      </c>
      <c r="D30" s="46"/>
      <c r="E30" s="37" t="s">
        <v>14</v>
      </c>
      <c r="F30" s="38"/>
      <c r="G30" s="38"/>
      <c r="H30" s="37"/>
      <c r="I30" s="37"/>
      <c r="J30" s="37"/>
      <c r="K30" s="37"/>
      <c r="L30" s="37"/>
      <c r="M30" s="37"/>
      <c r="N30" s="37"/>
      <c r="O30" s="37"/>
      <c r="P30" s="37"/>
      <c r="Q30" s="39"/>
      <c r="R30" s="39">
        <v>4000</v>
      </c>
      <c r="S30" s="35"/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Marketing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Aline Cavalcante</dc:creator>
  <cp:lastModifiedBy>Thiago Noronha</cp:lastModifiedBy>
  <dcterms:created xsi:type="dcterms:W3CDTF">2025-11-04T13:23:46Z</dcterms:created>
  <dcterms:modified xsi:type="dcterms:W3CDTF">2026-02-09T14:22:00Z</dcterms:modified>
</cp:coreProperties>
</file>